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ownloads\"/>
    </mc:Choice>
  </mc:AlternateContent>
  <xr:revisionPtr revIDLastSave="0" documentId="8_{58426478-15DA-44DA-A13C-AF6FD5ED649C}" xr6:coauthVersionLast="47" xr6:coauthVersionMax="47" xr10:uidLastSave="{00000000-0000-0000-0000-000000000000}"/>
  <bookViews>
    <workbookView xWindow="-108" yWindow="-108" windowWidth="23256" windowHeight="12456" tabRatio="281" xr2:uid="{4B5F63B2-0FC7-412A-AEE5-55C4D0DB75AF}"/>
  </bookViews>
  <sheets>
    <sheet name="APP" sheetId="1" r:id="rId1"/>
    <sheet name="Planilha2" sheetId="2" r:id="rId2"/>
  </sheets>
  <definedNames>
    <definedName name="Aporte">APP!$C$10</definedName>
    <definedName name="patrimonio">APP!$C$13</definedName>
    <definedName name="qtd_anos">APP!$C$11</definedName>
    <definedName name="Rend_Carteira">APP!$C$5</definedName>
    <definedName name="salario">APP!$C$4</definedName>
    <definedName name="sugestao_invest">APP!$C$6</definedName>
    <definedName name="taxa_mensal">APP!$C$12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9" i="1" l="1"/>
  <c r="C30" i="1"/>
  <c r="C31" i="1"/>
  <c r="C32" i="1"/>
  <c r="C33" i="1"/>
  <c r="C34" i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C26" i="1"/>
  <c r="C13" i="1"/>
  <c r="C14" i="1" s="1"/>
  <c r="C6" i="1"/>
  <c r="C18" i="1"/>
  <c r="D18" i="1" s="1"/>
  <c r="C19" i="1"/>
  <c r="D19" i="1" s="1"/>
  <c r="C20" i="1"/>
  <c r="D20" i="1" s="1"/>
  <c r="C21" i="1"/>
  <c r="D21" i="1" s="1"/>
  <c r="C17" i="1"/>
  <c r="D17" i="1" s="1"/>
  <c r="D29" i="1" l="1"/>
  <c r="D30" i="1"/>
  <c r="D34" i="1"/>
  <c r="D33" i="1"/>
  <c r="D32" i="1"/>
  <c r="D31" i="1"/>
  <c r="D35" i="1" l="1"/>
</calcChain>
</file>

<file path=xl/sharedStrings.xml><?xml version="1.0" encoding="utf-8"?>
<sst xmlns="http://schemas.openxmlformats.org/spreadsheetml/2006/main" count="70" uniqueCount="34">
  <si>
    <t>INVESTIMENTO MENSAL</t>
  </si>
  <si>
    <t>Quanto investir por mês?</t>
  </si>
  <si>
    <t>Por quantos anos?</t>
  </si>
  <si>
    <t>Taxa de Rendimento Mensal</t>
  </si>
  <si>
    <t>Patrimônio Acumulado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</si>
  <si>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</si>
  <si>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</si>
  <si>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</si>
  <si>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</si>
  <si>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</si>
  <si>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</si>
  <si>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</si>
  <si>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</si>
  <si>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Configurações</t>
  </si>
  <si>
    <t>Rendimento Carteira</t>
  </si>
  <si>
    <t>Salário</t>
  </si>
  <si>
    <t>colocar salario liquido e bruto</t>
  </si>
  <si>
    <t>AGRESSIVO</t>
  </si>
  <si>
    <t>CONSERVADOR</t>
  </si>
  <si>
    <t>MODERADO</t>
  </si>
  <si>
    <t>PERFIL</t>
  </si>
  <si>
    <t>VALOR A SER INVESTIDO POR MÊS</t>
  </si>
  <si>
    <t>TIPO DE FII</t>
  </si>
  <si>
    <t>PERCENTUAL SUGERIDO</t>
  </si>
  <si>
    <t>VALORES</t>
  </si>
  <si>
    <t>TIJOLO</t>
  </si>
  <si>
    <t>HÍBRIDOS</t>
  </si>
  <si>
    <t>FOFs</t>
  </si>
  <si>
    <t>DESENVOLVIMENTO</t>
  </si>
  <si>
    <t>HOTELARIAS</t>
  </si>
  <si>
    <t>%</t>
  </si>
  <si>
    <t>CHAVE</t>
  </si>
  <si>
    <t>PAPEL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</si>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</sst>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45">
    <xf numFmtId="0" fontId="0" fillId="0" borderId="0" xfId="0"/>
    <xf numFmtId="0" fontId="0" fillId="3" borderId="5" xfId="0" applyFill="1" applyBorder="1"/>
    <xf numFmtId="0" fontId="0" fillId="3" borderId="7" xfId="0" applyFill="1" applyBorder="1"/>
    <xf numFmtId="0" fontId="6" fillId="3" borderId="5" xfId="0" applyFont="1" applyFill="1" applyBorder="1"/>
    <xf numFmtId="0" fontId="6" fillId="3" borderId="7" xfId="0" applyFont="1" applyFill="1" applyBorder="1"/>
    <xf numFmtId="0" fontId="6" fillId="0" borderId="6" xfId="0" applyFont="1" applyBorder="1" applyAlignment="1"/>
    <xf numFmtId="44" fontId="6" fillId="0" borderId="6" xfId="1" applyFont="1" applyBorder="1" applyAlignment="1">
      <alignment vertical="center"/>
    </xf>
    <xf numFmtId="8" fontId="6" fillId="3" borderId="6" xfId="0" applyNumberFormat="1" applyFont="1" applyFill="1" applyBorder="1" applyAlignment="1"/>
    <xf numFmtId="10" fontId="6" fillId="0" borderId="6" xfId="2" applyNumberFormat="1" applyFont="1" applyBorder="1" applyAlignment="1"/>
    <xf numFmtId="0" fontId="7" fillId="4" borderId="10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8" fontId="6" fillId="3" borderId="9" xfId="0" applyNumberFormat="1" applyFont="1" applyFill="1" applyBorder="1"/>
    <xf numFmtId="0" fontId="4" fillId="0" borderId="0" xfId="0" applyFont="1"/>
    <xf numFmtId="0" fontId="0" fillId="0" borderId="0" xfId="0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 vertical="center"/>
    </xf>
    <xf numFmtId="8" fontId="0" fillId="3" borderId="1" xfId="0" applyNumberFormat="1" applyFill="1" applyBorder="1"/>
    <xf numFmtId="0" fontId="0" fillId="3" borderId="2" xfId="0" applyFill="1" applyBorder="1"/>
    <xf numFmtId="8" fontId="0" fillId="3" borderId="3" xfId="0" applyNumberFormat="1" applyFill="1" applyBorder="1"/>
    <xf numFmtId="8" fontId="0" fillId="3" borderId="4" xfId="0" applyNumberFormat="1" applyFill="1" applyBorder="1"/>
    <xf numFmtId="8" fontId="0" fillId="3" borderId="6" xfId="0" applyNumberFormat="1" applyFill="1" applyBorder="1"/>
    <xf numFmtId="8" fontId="0" fillId="3" borderId="8" xfId="0" applyNumberFormat="1" applyFill="1" applyBorder="1"/>
    <xf numFmtId="8" fontId="0" fillId="3" borderId="9" xfId="0" applyNumberFormat="1" applyFill="1" applyBorder="1"/>
    <xf numFmtId="0" fontId="8" fillId="5" borderId="13" xfId="0" applyFont="1" applyFill="1" applyBorder="1" applyAlignment="1">
      <alignment horizontal="center"/>
    </xf>
    <xf numFmtId="0" fontId="8" fillId="5" borderId="14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44" fontId="0" fillId="0" borderId="16" xfId="1" applyFont="1" applyBorder="1" applyAlignment="1">
      <alignment horizontal="center"/>
    </xf>
    <xf numFmtId="44" fontId="0" fillId="0" borderId="18" xfId="0" applyNumberFormat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0" fillId="6" borderId="0" xfId="0" applyFill="1" applyAlignment="1">
      <alignment horizontal="center"/>
    </xf>
    <xf numFmtId="44" fontId="0" fillId="6" borderId="0" xfId="1" applyFont="1" applyFill="1" applyAlignment="1">
      <alignment horizontal="center"/>
    </xf>
    <xf numFmtId="0" fontId="0" fillId="6" borderId="0" xfId="0" applyFill="1"/>
    <xf numFmtId="9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 vertical="center"/>
    </xf>
    <xf numFmtId="9" fontId="0" fillId="7" borderId="0" xfId="2" applyFont="1" applyFill="1" applyAlignment="1">
      <alignment horizontal="center" vertical="center"/>
    </xf>
    <xf numFmtId="44" fontId="0" fillId="6" borderId="0" xfId="1" applyFont="1" applyFill="1" applyAlignment="1">
      <alignment horizontal="center" vertical="center"/>
    </xf>
    <xf numFmtId="44" fontId="0" fillId="7" borderId="0" xfId="1" applyFont="1" applyFill="1" applyAlignment="1">
      <alignment horizontal="center" vertical="center"/>
    </xf>
    <xf numFmtId="0" fontId="5" fillId="6" borderId="5" xfId="0" applyFont="1" applyFill="1" applyBorder="1"/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APP!$C$28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APP!$B$29:$B$34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APP!$C$29:$C$34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03-4F9B-8C0D-4B28DD6BE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1973580</xdr:colOff>
      <xdr:row>35</xdr:row>
      <xdr:rowOff>167640</xdr:rowOff>
    </xdr:from>
    <xdr:to>
      <xdr:col>3</xdr:col>
      <xdr:colOff>464820</xdr:colOff>
      <xdr:row>47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96E6BD2-8F2D-AA59-F6EC-58AB3FCB50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A4C2-5030-425C-AE2E-3849EC76274C}">
  <dimension ref="A3:E52"/>
  <sheetViews>
    <sheetView showGridLines="0" tabSelected="1" workbookViewId="0">
      <selection activeCell="B4" sqref="B4"/>
    </sheetView>
  </sheetViews>
  <sheetFormatPr defaultColWidth="0" defaultRowHeight="14.4" x14ac:dyDescent="0.3"/>
  <cols>
    <col min="1" max="1" width="3.109375" customWidth="1"/>
    <col min="2" max="2" width="34.109375" bestFit="1" customWidth="1"/>
    <col min="3" max="3" width="33.21875" customWidth="1"/>
    <col min="4" max="4" width="11.5546875" bestFit="1" customWidth="1"/>
    <col min="5" max="6" width="8.88671875" customWidth="1"/>
    <col min="7" max="8" width="8.88671875" hidden="1" customWidth="1"/>
    <col min="9" max="16384" width="8.88671875" hidden="1"/>
  </cols>
  <sheetData>
    <row r="3" spans="2:5" ht="21" x14ac:dyDescent="0.4">
      <c r="B3" s="24" t="s">
        <v>13</v>
      </c>
      <c r="C3" s="25"/>
    </row>
    <row r="4" spans="2:5" x14ac:dyDescent="0.3">
      <c r="B4" s="26" t="s">
        <v>15</v>
      </c>
      <c r="C4" s="29">
        <v>2000</v>
      </c>
    </row>
    <row r="5" spans="2:5" x14ac:dyDescent="0.3">
      <c r="B5" s="26" t="s">
        <v>14</v>
      </c>
      <c r="C5" s="27">
        <v>8.8999999999999999E-3</v>
      </c>
    </row>
    <row r="6" spans="2:5" x14ac:dyDescent="0.3">
      <c r="B6" s="28" t="s">
        <v>33</v>
      </c>
      <c r="C6" s="30">
        <f>C4*0.3</f>
        <v>600</v>
      </c>
    </row>
    <row r="8" spans="2:5" ht="15" thickBot="1" x14ac:dyDescent="0.35"/>
    <row r="9" spans="2:5" ht="23.4" x14ac:dyDescent="0.45">
      <c r="B9" s="9" t="s">
        <v>0</v>
      </c>
      <c r="C9" s="10"/>
    </row>
    <row r="10" spans="2:5" ht="17.399999999999999" x14ac:dyDescent="0.35">
      <c r="B10" s="44" t="s">
        <v>1</v>
      </c>
      <c r="C10" s="6">
        <v>200</v>
      </c>
      <c r="E10" t="s">
        <v>16</v>
      </c>
    </row>
    <row r="11" spans="2:5" ht="17.399999999999999" x14ac:dyDescent="0.35">
      <c r="B11" s="44" t="s">
        <v>2</v>
      </c>
      <c r="C11" s="5">
        <v>5</v>
      </c>
    </row>
    <row r="12" spans="2:5" ht="17.399999999999999" x14ac:dyDescent="0.35">
      <c r="B12" s="44" t="s">
        <v>3</v>
      </c>
      <c r="C12" s="8">
        <v>1.0789999999999999E-2</v>
      </c>
    </row>
    <row r="13" spans="2:5" ht="17.399999999999999" x14ac:dyDescent="0.35">
      <c r="B13" s="3" t="s">
        <v>4</v>
      </c>
      <c r="C13" s="7">
        <f>FV(taxa_mensal,qtd_anos*12,Aporte*-1)</f>
        <v>16755.382799697527</v>
      </c>
    </row>
    <row r="14" spans="2:5" ht="18" thickBot="1" x14ac:dyDescent="0.4">
      <c r="B14" s="4" t="s">
        <v>5</v>
      </c>
      <c r="C14" s="11">
        <f>patrimonio*Rend_Carteira</f>
        <v>149.122906917308</v>
      </c>
    </row>
    <row r="16" spans="2:5" ht="24" thickBot="1" x14ac:dyDescent="0.5">
      <c r="B16" s="14" t="s">
        <v>11</v>
      </c>
      <c r="C16" s="15"/>
      <c r="D16" s="16" t="s">
        <v>12</v>
      </c>
    </row>
    <row r="17" spans="1:4" x14ac:dyDescent="0.3">
      <c r="A17" s="12">
        <v>2</v>
      </c>
      <c r="B17" s="18" t="s">
        <v>6</v>
      </c>
      <c r="C17" s="19">
        <f>FV($C$12,$A17*12,$C$10*-1)</f>
        <v>5445.5254595290435</v>
      </c>
      <c r="D17" s="20">
        <f>C17*Rend_Carteira</f>
        <v>48.465176589808486</v>
      </c>
    </row>
    <row r="18" spans="1:4" x14ac:dyDescent="0.3">
      <c r="A18" s="12">
        <v>5</v>
      </c>
      <c r="B18" s="1" t="s">
        <v>7</v>
      </c>
      <c r="C18" s="17">
        <f t="shared" ref="C18:C21" si="0">FV($C$12,$A18*12,$C$10*-1)</f>
        <v>16755.382799697527</v>
      </c>
      <c r="D18" s="21">
        <f>C18*Rend_Carteira</f>
        <v>149.122906917308</v>
      </c>
    </row>
    <row r="19" spans="1:4" x14ac:dyDescent="0.3">
      <c r="A19" s="12">
        <v>10</v>
      </c>
      <c r="B19" s="1" t="s">
        <v>8</v>
      </c>
      <c r="C19" s="17">
        <f t="shared" si="0"/>
        <v>48656.842506034438</v>
      </c>
      <c r="D19" s="21">
        <f>C19*Rend_Carteira</f>
        <v>433.04589830370651</v>
      </c>
    </row>
    <row r="20" spans="1:4" x14ac:dyDescent="0.3">
      <c r="A20" s="12">
        <v>20</v>
      </c>
      <c r="B20" s="1" t="s">
        <v>9</v>
      </c>
      <c r="C20" s="17">
        <f t="shared" si="0"/>
        <v>225039.68001941612</v>
      </c>
      <c r="D20" s="21">
        <f>C20*Rend_Carteira</f>
        <v>2002.8531521728034</v>
      </c>
    </row>
    <row r="21" spans="1:4" ht="15" thickBot="1" x14ac:dyDescent="0.35">
      <c r="A21" s="12">
        <v>30</v>
      </c>
      <c r="B21" s="2" t="s">
        <v>10</v>
      </c>
      <c r="C21" s="22">
        <f t="shared" si="0"/>
        <v>864433.93100094295</v>
      </c>
      <c r="D21" s="23">
        <f>C21*Rend_Carteira</f>
        <v>7693.4619859083923</v>
      </c>
    </row>
    <row r="25" spans="1:4" x14ac:dyDescent="0.3">
      <c r="B25" s="31" t="s">
        <v>20</v>
      </c>
      <c r="C25" s="32" t="s">
        <v>17</v>
      </c>
      <c r="D25" s="31"/>
    </row>
    <row r="26" spans="1:4" x14ac:dyDescent="0.3">
      <c r="B26" s="33" t="s">
        <v>21</v>
      </c>
      <c r="C26" s="34">
        <f>Aporte</f>
        <v>200</v>
      </c>
      <c r="D26" s="35"/>
    </row>
    <row r="28" spans="1:4" x14ac:dyDescent="0.3">
      <c r="B28" s="37" t="s">
        <v>22</v>
      </c>
      <c r="C28" s="37" t="s">
        <v>23</v>
      </c>
      <c r="D28" s="41" t="s">
        <v>24</v>
      </c>
    </row>
    <row r="29" spans="1:4" x14ac:dyDescent="0.3">
      <c r="B29" s="13" t="s">
        <v>32</v>
      </c>
      <c r="C29" s="36">
        <f>VLOOKUP($C$25&amp;"-"&amp;B29,Planilha2!$A:$D,4,FALSE)</f>
        <v>0.5</v>
      </c>
      <c r="D29" s="42">
        <f>C29*$C$26</f>
        <v>100</v>
      </c>
    </row>
    <row r="30" spans="1:4" x14ac:dyDescent="0.3">
      <c r="B30" s="13" t="s">
        <v>25</v>
      </c>
      <c r="C30" s="36">
        <f>VLOOKUP($C$25&amp;"-"&amp;B30,Planilha2!$A:$D,4,FALSE)</f>
        <v>0.1</v>
      </c>
      <c r="D30" s="42">
        <f t="shared" ref="D30:D34" si="1">C30*$C$26</f>
        <v>20</v>
      </c>
    </row>
    <row r="31" spans="1:4" x14ac:dyDescent="0.3">
      <c r="B31" s="13" t="s">
        <v>26</v>
      </c>
      <c r="C31" s="36">
        <f>VLOOKUP($C$25&amp;"-"&amp;B31,Planilha2!$A:$D,4,FALSE)</f>
        <v>0.05</v>
      </c>
      <c r="D31" s="42">
        <f t="shared" si="1"/>
        <v>10</v>
      </c>
    </row>
    <row r="32" spans="1:4" x14ac:dyDescent="0.3">
      <c r="B32" s="13" t="s">
        <v>27</v>
      </c>
      <c r="C32" s="36">
        <f>VLOOKUP($C$25&amp;"-"&amp;B32,Planilha2!$A:$D,4,FALSE)</f>
        <v>0.05</v>
      </c>
      <c r="D32" s="42">
        <f t="shared" si="1"/>
        <v>10</v>
      </c>
    </row>
    <row r="33" spans="2:4" x14ac:dyDescent="0.3">
      <c r="B33" s="13" t="s">
        <v>28</v>
      </c>
      <c r="C33" s="36">
        <f>VLOOKUP($C$25&amp;"-"&amp;B33,Planilha2!$A:$D,4,FALSE)</f>
        <v>0.2</v>
      </c>
      <c r="D33" s="42">
        <f t="shared" si="1"/>
        <v>40</v>
      </c>
    </row>
    <row r="34" spans="2:4" x14ac:dyDescent="0.3">
      <c r="B34" s="13" t="s">
        <v>29</v>
      </c>
      <c r="C34" s="36">
        <f>VLOOKUP($C$25&amp;"-"&amp;B34,Planilha2!$A:$D,4,FALSE)</f>
        <v>0.1</v>
      </c>
      <c r="D34" s="42">
        <f t="shared" si="1"/>
        <v>20</v>
      </c>
    </row>
    <row r="35" spans="2:4" x14ac:dyDescent="0.3">
      <c r="B35" s="38"/>
      <c r="C35" s="38"/>
      <c r="D35" s="43">
        <f>SUM(D29:D34)</f>
        <v>200</v>
      </c>
    </row>
    <row r="49" customFormat="1" x14ac:dyDescent="0.3"/>
    <row r="50" customFormat="1" x14ac:dyDescent="0.3"/>
    <row r="51" customFormat="1" x14ac:dyDescent="0.3"/>
    <row r="52" customFormat="1" x14ac:dyDescent="0.3"/>
  </sheetData>
  <mergeCells count="3">
    <mergeCell ref="B9:C9"/>
    <mergeCell ref="B16:C16"/>
    <mergeCell ref="B3:C3"/>
  </mergeCells>
  <dataValidations count="1">
    <dataValidation type="list" allowBlank="1" showInputMessage="1" showErrorMessage="1" sqref="C25" xr:uid="{EA4AC193-F6E2-46B9-912A-98C6C49A8081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B390-9498-4548-852B-A83791BD599A}">
  <dimension ref="A2:D20"/>
  <sheetViews>
    <sheetView workbookViewId="0">
      <selection activeCell="D13" sqref="D13"/>
    </sheetView>
  </sheetViews>
  <sheetFormatPr defaultRowHeight="14.4" x14ac:dyDescent="0.3"/>
  <cols>
    <col min="1" max="1" width="31.5546875" style="13" bestFit="1" customWidth="1"/>
    <col min="2" max="2" width="14" style="39" bestFit="1" customWidth="1"/>
    <col min="3" max="3" width="17.6640625" style="39" bestFit="1" customWidth="1"/>
    <col min="4" max="4" width="7.5546875" style="40" customWidth="1"/>
  </cols>
  <sheetData>
    <row r="2" spans="1:4" x14ac:dyDescent="0.3">
      <c r="A2" s="13" t="s">
        <v>31</v>
      </c>
      <c r="B2" s="39" t="s">
        <v>20</v>
      </c>
      <c r="C2" s="39" t="s">
        <v>22</v>
      </c>
      <c r="D2" s="40" t="s">
        <v>30</v>
      </c>
    </row>
    <row r="3" spans="1:4" x14ac:dyDescent="0.3">
      <c r="A3" s="13" t="str">
        <f>B3&amp;"-"&amp;C3</f>
        <v>CONSERVADOR-PAPEL</v>
      </c>
      <c r="B3" s="39" t="s">
        <v>18</v>
      </c>
      <c r="C3" s="39" t="s">
        <v>32</v>
      </c>
      <c r="D3" s="40">
        <v>0.3</v>
      </c>
    </row>
    <row r="4" spans="1:4" x14ac:dyDescent="0.3">
      <c r="A4" s="13" t="str">
        <f t="shared" ref="A4:A20" si="0">B4&amp;"-"&amp;C4</f>
        <v>CONSERVADOR-TIJOLO</v>
      </c>
      <c r="B4" s="39" t="s">
        <v>18</v>
      </c>
      <c r="C4" s="39" t="s">
        <v>25</v>
      </c>
      <c r="D4" s="40">
        <v>0.5</v>
      </c>
    </row>
    <row r="5" spans="1:4" x14ac:dyDescent="0.3">
      <c r="A5" s="13" t="str">
        <f t="shared" si="0"/>
        <v>CONSERVADOR-HÍBRIDOS</v>
      </c>
      <c r="B5" s="39" t="s">
        <v>18</v>
      </c>
      <c r="C5" s="39" t="s">
        <v>26</v>
      </c>
      <c r="D5" s="40">
        <v>0.1</v>
      </c>
    </row>
    <row r="6" spans="1:4" x14ac:dyDescent="0.3">
      <c r="A6" s="13" t="str">
        <f t="shared" si="0"/>
        <v>CONSERVADOR-FOFs</v>
      </c>
      <c r="B6" s="39" t="s">
        <v>18</v>
      </c>
      <c r="C6" s="39" t="s">
        <v>27</v>
      </c>
      <c r="D6" s="40">
        <v>0.1</v>
      </c>
    </row>
    <row r="7" spans="1:4" x14ac:dyDescent="0.3">
      <c r="A7" s="13" t="str">
        <f t="shared" si="0"/>
        <v>CONSERVADOR-DESENVOLVIMENTO</v>
      </c>
      <c r="B7" s="39" t="s">
        <v>18</v>
      </c>
      <c r="C7" s="39" t="s">
        <v>28</v>
      </c>
      <c r="D7" s="40">
        <v>0</v>
      </c>
    </row>
    <row r="8" spans="1:4" x14ac:dyDescent="0.3">
      <c r="A8" s="13" t="str">
        <f t="shared" si="0"/>
        <v>CONSERVADOR-HOTELARIAS</v>
      </c>
      <c r="B8" s="39" t="s">
        <v>18</v>
      </c>
      <c r="C8" s="39" t="s">
        <v>29</v>
      </c>
      <c r="D8" s="40">
        <v>0</v>
      </c>
    </row>
    <row r="9" spans="1:4" x14ac:dyDescent="0.3">
      <c r="A9" s="13" t="str">
        <f t="shared" si="0"/>
        <v>MODERADO-PAPEL</v>
      </c>
      <c r="B9" s="39" t="s">
        <v>19</v>
      </c>
      <c r="C9" s="39" t="s">
        <v>32</v>
      </c>
      <c r="D9" s="40">
        <v>0.32</v>
      </c>
    </row>
    <row r="10" spans="1:4" x14ac:dyDescent="0.3">
      <c r="A10" s="13" t="str">
        <f t="shared" si="0"/>
        <v>MODERADO-TIJOLO</v>
      </c>
      <c r="B10" s="39" t="s">
        <v>19</v>
      </c>
      <c r="C10" s="39" t="s">
        <v>25</v>
      </c>
      <c r="D10" s="40">
        <v>0.35</v>
      </c>
    </row>
    <row r="11" spans="1:4" x14ac:dyDescent="0.3">
      <c r="A11" s="13" t="str">
        <f t="shared" si="0"/>
        <v>MODERADO-HÍBRIDOS</v>
      </c>
      <c r="B11" s="39" t="s">
        <v>19</v>
      </c>
      <c r="C11" s="39" t="s">
        <v>26</v>
      </c>
      <c r="D11" s="40">
        <v>0.08</v>
      </c>
    </row>
    <row r="12" spans="1:4" x14ac:dyDescent="0.3">
      <c r="A12" s="13" t="str">
        <f t="shared" si="0"/>
        <v>MODERADO-FOFs</v>
      </c>
      <c r="B12" s="39" t="s">
        <v>19</v>
      </c>
      <c r="C12" s="39" t="s">
        <v>27</v>
      </c>
      <c r="D12" s="40">
        <v>0.05</v>
      </c>
    </row>
    <row r="13" spans="1:4" x14ac:dyDescent="0.3">
      <c r="A13" s="13" t="str">
        <f t="shared" si="0"/>
        <v>MODERADO-DESENVOLVIMENTO</v>
      </c>
      <c r="B13" s="39" t="s">
        <v>19</v>
      </c>
      <c r="C13" s="39" t="s">
        <v>28</v>
      </c>
      <c r="D13" s="40">
        <v>0.1</v>
      </c>
    </row>
    <row r="14" spans="1:4" x14ac:dyDescent="0.3">
      <c r="A14" s="13" t="str">
        <f t="shared" si="0"/>
        <v>MODERADO-HOTELARIAS</v>
      </c>
      <c r="B14" s="39" t="s">
        <v>19</v>
      </c>
      <c r="C14" s="39" t="s">
        <v>29</v>
      </c>
      <c r="D14" s="40">
        <v>0.1</v>
      </c>
    </row>
    <row r="15" spans="1:4" x14ac:dyDescent="0.3">
      <c r="A15" s="13" t="str">
        <f t="shared" si="0"/>
        <v>AGRESSIVO-PAPEL</v>
      </c>
      <c r="B15" s="39" t="s">
        <v>17</v>
      </c>
      <c r="C15" s="39" t="s">
        <v>32</v>
      </c>
      <c r="D15" s="40">
        <v>0.5</v>
      </c>
    </row>
    <row r="16" spans="1:4" x14ac:dyDescent="0.3">
      <c r="A16" s="13" t="str">
        <f t="shared" si="0"/>
        <v>AGRESSIVO-TIJOLO</v>
      </c>
      <c r="B16" s="39" t="s">
        <v>17</v>
      </c>
      <c r="C16" s="39" t="s">
        <v>25</v>
      </c>
      <c r="D16" s="40">
        <v>0.1</v>
      </c>
    </row>
    <row r="17" spans="1:4" x14ac:dyDescent="0.3">
      <c r="A17" s="13" t="str">
        <f t="shared" si="0"/>
        <v>AGRESSIVO-HÍBRIDOS</v>
      </c>
      <c r="B17" s="39" t="s">
        <v>17</v>
      </c>
      <c r="C17" s="39" t="s">
        <v>26</v>
      </c>
      <c r="D17" s="40">
        <v>0.05</v>
      </c>
    </row>
    <row r="18" spans="1:4" x14ac:dyDescent="0.3">
      <c r="A18" s="13" t="str">
        <f t="shared" si="0"/>
        <v>AGRESSIVO-FOFs</v>
      </c>
      <c r="B18" s="39" t="s">
        <v>17</v>
      </c>
      <c r="C18" s="39" t="s">
        <v>27</v>
      </c>
      <c r="D18" s="40">
        <v>0.05</v>
      </c>
    </row>
    <row r="19" spans="1:4" x14ac:dyDescent="0.3">
      <c r="A19" s="13" t="str">
        <f t="shared" si="0"/>
        <v>AGRESSIVO-DESENVOLVIMENTO</v>
      </c>
      <c r="B19" s="39" t="s">
        <v>17</v>
      </c>
      <c r="C19" s="39" t="s">
        <v>28</v>
      </c>
      <c r="D19" s="40">
        <v>0.2</v>
      </c>
    </row>
    <row r="20" spans="1:4" x14ac:dyDescent="0.3">
      <c r="A20" s="13" t="str">
        <f t="shared" si="0"/>
        <v>AGRESSIVO-HOTELARIAS</v>
      </c>
      <c r="B20" s="39" t="s">
        <v>17</v>
      </c>
      <c r="C20" s="39" t="s">
        <v>29</v>
      </c>
      <c r="D20" s="40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Rend_Carteira</vt:lpstr>
      <vt:lpstr>salario</vt:lpstr>
      <vt:lpstr>sugestao_invest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Resende</dc:creator>
  <cp:lastModifiedBy>Victoria Resende</cp:lastModifiedBy>
  <dcterms:created xsi:type="dcterms:W3CDTF">2026-09-12T20:46:58Z</dcterms:created>
  <dcterms:modified xsi:type="dcterms:W3CDTF">2026-09-13T18:07:44Z</dcterms:modified>
</cp:coreProperties>
</file>